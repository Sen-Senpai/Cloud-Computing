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  <definedNames>
    <definedName name="_xlnm._FilterDatabase" localSheetId="1">Data!$A$1:$E$29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/>
      </c>
    </row>
    <row r="2">
      <c r="A2" t="str">
        <v/>
      </c>
      <c r="B2" t="str">
        <v>Scope</v>
      </c>
    </row>
    <row r="3">
      <c r="A3" t="str">
        <v/>
      </c>
      <c r="B3" t="str">
        <v>Name:</v>
      </c>
      <c r="C3" t="str">
        <v>Faktlens-Cloud-RG</v>
      </c>
    </row>
    <row r="4">
      <c r="A4" t="str">
        <v/>
      </c>
      <c r="B4" t="str">
        <v>Type:</v>
      </c>
      <c r="C4" t="str">
        <v>Resource group</v>
      </c>
    </row>
    <row r="5">
      <c r="A5" t="str">
        <v/>
      </c>
      <c r="B5" t="str">
        <v>ID:</v>
      </c>
      <c r="C5" t="str">
        <v>/subscriptions/b070ca52-29e9-46f5-b769-27456300bfc9/resourceGroups/Faktlens-Cloud-RG</v>
      </c>
    </row>
    <row r="6">
      <c r="A6" t="str">
        <v/>
      </c>
    </row>
    <row r="7">
      <c r="A7" t="str">
        <v/>
      </c>
      <c r="B7" t="str">
        <v>View:</v>
      </c>
      <c r="C7" t="str">
        <v>Custom view</v>
      </c>
    </row>
    <row r="8">
      <c r="A8" t="str">
        <v/>
      </c>
      <c r="B8" t="str">
        <v>Start date:</v>
      </c>
      <c r="C8" t="str">
        <v>Tue, Sep 01, 2026</v>
      </c>
    </row>
    <row r="9">
      <c r="A9" t="str">
        <v/>
      </c>
      <c r="B9" t="str">
        <v>End date:</v>
      </c>
      <c r="C9" t="str">
        <v>Wed, Sep 30, 2026</v>
      </c>
    </row>
    <row r="10">
      <c r="A10" t="str">
        <v/>
      </c>
      <c r="B10" t="str">
        <v>Granularity:</v>
      </c>
      <c r="C10" t="str">
        <v>Daily</v>
      </c>
    </row>
    <row r="12">
      <c r="A12" t="str">
        <v/>
      </c>
    </row>
    <row r="13">
      <c r="A13" t="str">
        <v/>
      </c>
      <c r="B13" t="str">
        <v>Actual cost:</v>
      </c>
      <c r="C13">
        <f>SUM(Data!B:B)</f>
      </c>
    </row>
    <row r="14">
      <c r="A14" t="str">
        <v/>
      </c>
      <c r="B14" t="str">
        <v>Forecast:</v>
      </c>
      <c r="C14">
        <f>SUM(Data!B:B)+SUM(Data!D:D)</f>
      </c>
    </row>
    <row r="15">
      <c r="A15" t="str">
        <v/>
      </c>
    </row>
    <row r="16">
      <c r="A16" t="str">
        <v/>
      </c>
      <c r="B16" t="str">
        <v>Generated:</v>
      </c>
      <c r="C16" t="str">
        <v>Sun, Sep 13, 2026 10:05:29 PM</v>
      </c>
      <c r="D16" t="str">
        <v>UTC</v>
      </c>
    </row>
    <row r="17">
      <c r="A17" t="str">
        <v/>
      </c>
    </row>
    <row r="18">
      <c r="A18" t="str">
        <v/>
      </c>
      <c r="B18" t="str">
        <v>Budget</v>
      </c>
    </row>
    <row r="19">
      <c r="A19" t="str">
        <v/>
      </c>
      <c r="B19" t="str">
        <v>Name:</v>
      </c>
      <c r="C19" t="str">
        <v>Faktlens-Monthly-Budget</v>
      </c>
    </row>
    <row r="20">
      <c r="A20" t="str">
        <v/>
      </c>
      <c r="B20" t="str">
        <v>ID:</v>
      </c>
      <c r="C20" t="str">
        <v>//subscriptions/b070ca52-29e9-46f5-b769-27456300bfc9/resourceGroups/Faktlens-Cloud-RG/providers/Microsoft.Consumption/budgets/Faktlens-Monthly-Budget</v>
      </c>
    </row>
    <row r="21">
      <c r="A21" t="str">
        <v/>
      </c>
      <c r="B21" t="str">
        <v>Amount:</v>
      </c>
      <c r="C21">
        <v>50</v>
      </c>
    </row>
    <row r="22">
      <c r="A22" t="str">
        <v/>
      </c>
    </row>
    <row r="23">
      <c r="A23" t="str">
        <v/>
      </c>
      <c r="B23" t="str">
        <v>API</v>
      </c>
    </row>
    <row r="24">
      <c r="A24" t="str">
        <v/>
      </c>
      <c r="B24" t="str">
        <v>Learn more:</v>
      </c>
      <c r="C24">
        <f>=HYPERLINK("https://aka.ms/costanalysis/api","https://aka.ms/costanalysis/api")</f>
      </c>
    </row>
  </sheetData>
  <ignoredErrors>
    <ignoredError numberStoredAsText="1" sqref="A1:D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UsageDate</v>
      </c>
      <c r="B1" t="str">
        <v>CostUSD</v>
      </c>
      <c r="C1" t="str">
        <v>Cost</v>
      </c>
      <c r="D1" t="str">
        <v>ForecastCost</v>
      </c>
      <c r="E1" t="str">
        <v>Currency</v>
      </c>
    </row>
    <row r="2">
      <c r="A2" t="str">
        <v>2026-09-05</v>
      </c>
      <c r="B2">
        <v>1.57577370266667</v>
      </c>
      <c r="C2">
        <v>1.57577370266667</v>
      </c>
      <c r="D2" t="str">
        <v/>
      </c>
      <c r="E2" t="str">
        <v>USD</v>
      </c>
    </row>
    <row r="3">
      <c r="A3" t="str">
        <v>2026-09-06</v>
      </c>
      <c r="B3">
        <v>3.666058252</v>
      </c>
      <c r="C3">
        <v>3.666058252</v>
      </c>
      <c r="D3" t="str">
        <v/>
      </c>
      <c r="E3" t="str">
        <v>USD</v>
      </c>
    </row>
    <row r="4">
      <c r="A4" t="str">
        <v>2026-09-07</v>
      </c>
      <c r="B4">
        <v>3.6854579243</v>
      </c>
      <c r="C4">
        <v>3.6854579243</v>
      </c>
      <c r="D4" t="str">
        <v/>
      </c>
      <c r="E4" t="str">
        <v>USD</v>
      </c>
    </row>
    <row r="5">
      <c r="A5" t="str">
        <v>2026-09-08</v>
      </c>
      <c r="B5">
        <v>3.6881760776</v>
      </c>
      <c r="C5">
        <v>3.6881760776</v>
      </c>
      <c r="D5" t="str">
        <v/>
      </c>
      <c r="E5" t="str">
        <v>USD</v>
      </c>
    </row>
    <row r="6">
      <c r="A6" t="str">
        <v>2026-09-09</v>
      </c>
      <c r="B6">
        <v>3.7384436776</v>
      </c>
      <c r="C6">
        <v>3.7384436776</v>
      </c>
      <c r="D6" t="str">
        <v/>
      </c>
      <c r="E6" t="str">
        <v>USD</v>
      </c>
    </row>
    <row r="7">
      <c r="A7" t="str">
        <v>2026-09-10</v>
      </c>
      <c r="B7">
        <v>3.6868943776</v>
      </c>
      <c r="C7">
        <v>3.6868943776</v>
      </c>
      <c r="D7" t="str">
        <v/>
      </c>
      <c r="E7" t="str">
        <v>USD</v>
      </c>
    </row>
    <row r="8">
      <c r="A8" t="str">
        <v>2026-09-11</v>
      </c>
      <c r="B8">
        <v>26.0583159472164</v>
      </c>
      <c r="C8">
        <v>26.0583159472164</v>
      </c>
      <c r="D8" t="str">
        <v/>
      </c>
      <c r="E8" t="str">
        <v>USD</v>
      </c>
    </row>
    <row r="9">
      <c r="A9" t="str">
        <v>2026-09-12</v>
      </c>
      <c r="B9">
        <v>28.4978104198196</v>
      </c>
      <c r="C9">
        <v>28.4978104198196</v>
      </c>
      <c r="D9" t="str">
        <v/>
      </c>
      <c r="E9" t="str">
        <v>USD</v>
      </c>
    </row>
    <row r="10">
      <c r="A10" t="str">
        <v>2026-09-13</v>
      </c>
      <c r="B10">
        <v>10.7335412237894</v>
      </c>
      <c r="C10">
        <v>10.7335412237894</v>
      </c>
      <c r="D10" t="str">
        <v/>
      </c>
      <c r="E10" t="str">
        <v>USD</v>
      </c>
    </row>
    <row r="11">
      <c r="A11" t="str">
        <v>2026-09-12</v>
      </c>
      <c r="B11" t="str">
        <v/>
      </c>
      <c r="C11" t="str">
        <v/>
      </c>
      <c r="D11">
        <v>0</v>
      </c>
      <c r="E11" t="str">
        <v>USD</v>
      </c>
    </row>
    <row r="12">
      <c r="A12" t="str">
        <v>2026-09-13</v>
      </c>
      <c r="B12" t="str">
        <v/>
      </c>
      <c r="C12" t="str">
        <v/>
      </c>
      <c r="D12">
        <v>0</v>
      </c>
      <c r="E12" t="str">
        <v>USD</v>
      </c>
    </row>
    <row r="13">
      <c r="A13" t="str">
        <v>2026-09-14</v>
      </c>
      <c r="B13" t="str">
        <v/>
      </c>
      <c r="C13" t="str">
        <v/>
      </c>
      <c r="D13">
        <v>2.575127601623535</v>
      </c>
      <c r="E13" t="str">
        <v>USD</v>
      </c>
    </row>
    <row r="14">
      <c r="A14" t="str">
        <v>2026-09-15</v>
      </c>
      <c r="B14" t="str">
        <v/>
      </c>
      <c r="C14" t="str">
        <v/>
      </c>
      <c r="D14">
        <v>2.5460872650146484</v>
      </c>
      <c r="E14" t="str">
        <v>USD</v>
      </c>
    </row>
    <row r="15">
      <c r="A15" t="str">
        <v>2026-09-16</v>
      </c>
      <c r="B15" t="str">
        <v/>
      </c>
      <c r="C15" t="str">
        <v/>
      </c>
      <c r="D15">
        <v>23.37993127486243</v>
      </c>
      <c r="E15" t="str">
        <v>USD</v>
      </c>
    </row>
    <row r="16">
      <c r="A16" t="str">
        <v>2026-09-17</v>
      </c>
      <c r="B16" t="str">
        <v/>
      </c>
      <c r="C16" t="str">
        <v/>
      </c>
      <c r="D16">
        <v>1.231209397315979</v>
      </c>
      <c r="E16" t="str">
        <v>USD</v>
      </c>
    </row>
    <row r="17">
      <c r="A17" t="str">
        <v>2026-09-18</v>
      </c>
      <c r="B17" t="str">
        <v/>
      </c>
      <c r="C17" t="str">
        <v/>
      </c>
      <c r="D17">
        <v>2.534288167953491</v>
      </c>
      <c r="E17" t="str">
        <v>USD</v>
      </c>
    </row>
    <row r="18">
      <c r="A18" t="str">
        <v>2026-09-19</v>
      </c>
      <c r="B18" t="str">
        <v/>
      </c>
      <c r="C18" t="str">
        <v/>
      </c>
      <c r="D18">
        <v>2.545269250869751</v>
      </c>
      <c r="E18" t="str">
        <v>USD</v>
      </c>
    </row>
    <row r="19">
      <c r="A19" t="str">
        <v>2026-09-20</v>
      </c>
      <c r="B19" t="str">
        <v/>
      </c>
      <c r="C19" t="str">
        <v/>
      </c>
      <c r="D19">
        <v>2.546804666519165</v>
      </c>
      <c r="E19" t="str">
        <v>USD</v>
      </c>
    </row>
    <row r="20">
      <c r="A20" t="str">
        <v>2026-09-21</v>
      </c>
      <c r="B20" t="str">
        <v/>
      </c>
      <c r="C20" t="str">
        <v/>
      </c>
      <c r="D20">
        <v>2.575127601623535</v>
      </c>
      <c r="E20" t="str">
        <v>USD</v>
      </c>
    </row>
    <row r="21">
      <c r="A21" t="str">
        <v>2026-09-22</v>
      </c>
      <c r="B21" t="str">
        <v/>
      </c>
      <c r="C21" t="str">
        <v/>
      </c>
      <c r="D21">
        <v>2.5460872650146484</v>
      </c>
      <c r="E21" t="str">
        <v>USD</v>
      </c>
    </row>
    <row r="22">
      <c r="A22" t="str">
        <v>2026-09-23</v>
      </c>
      <c r="B22" t="str">
        <v/>
      </c>
      <c r="C22" t="str">
        <v/>
      </c>
      <c r="D22">
        <v>23.37993127486243</v>
      </c>
      <c r="E22" t="str">
        <v>USD</v>
      </c>
    </row>
    <row r="23">
      <c r="A23" t="str">
        <v>2026-09-24</v>
      </c>
      <c r="B23" t="str">
        <v/>
      </c>
      <c r="C23" t="str">
        <v/>
      </c>
      <c r="D23">
        <v>1.231209397315979</v>
      </c>
      <c r="E23" t="str">
        <v>USD</v>
      </c>
    </row>
    <row r="24">
      <c r="A24" t="str">
        <v>2026-09-25</v>
      </c>
      <c r="B24" t="str">
        <v/>
      </c>
      <c r="C24" t="str">
        <v/>
      </c>
      <c r="D24">
        <v>2.534288167953491</v>
      </c>
      <c r="E24" t="str">
        <v>USD</v>
      </c>
    </row>
    <row r="25">
      <c r="A25" t="str">
        <v>2026-09-26</v>
      </c>
      <c r="B25" t="str">
        <v/>
      </c>
      <c r="C25" t="str">
        <v/>
      </c>
      <c r="D25">
        <v>2.545269250869751</v>
      </c>
      <c r="E25" t="str">
        <v>USD</v>
      </c>
    </row>
    <row r="26">
      <c r="A26" t="str">
        <v>2026-09-27</v>
      </c>
      <c r="B26" t="str">
        <v/>
      </c>
      <c r="C26" t="str">
        <v/>
      </c>
      <c r="D26">
        <v>2.546804666519165</v>
      </c>
      <c r="E26" t="str">
        <v>USD</v>
      </c>
    </row>
    <row r="27">
      <c r="A27" t="str">
        <v>2026-09-28</v>
      </c>
      <c r="B27" t="str">
        <v/>
      </c>
      <c r="C27" t="str">
        <v/>
      </c>
      <c r="D27">
        <v>2.575127601623535</v>
      </c>
      <c r="E27" t="str">
        <v>USD</v>
      </c>
    </row>
    <row r="28">
      <c r="A28" t="str">
        <v>2026-09-29</v>
      </c>
      <c r="B28" t="str">
        <v/>
      </c>
      <c r="C28" t="str">
        <v/>
      </c>
      <c r="D28">
        <v>2.5460872650146484</v>
      </c>
      <c r="E28" t="str">
        <v>USD</v>
      </c>
    </row>
    <row r="29">
      <c r="A29" t="str">
        <v>2026-09-30</v>
      </c>
      <c r="B29" t="str">
        <v/>
      </c>
      <c r="C29" t="str">
        <v/>
      </c>
      <c r="D29">
        <v>23.37993127486243</v>
      </c>
      <c r="E29" t="str">
        <v>USD</v>
      </c>
    </row>
  </sheetData>
  <autoFilter ref="A1:E29"/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